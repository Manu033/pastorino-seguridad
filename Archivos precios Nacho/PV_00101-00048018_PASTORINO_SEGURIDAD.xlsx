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  <sheet state="visible" name="Resumen" sheetId="2" r:id="rId5"/>
  </sheets>
  <definedNames/>
  <calcPr/>
</workbook>
</file>

<file path=xl/sharedStrings.xml><?xml version="1.0" encoding="utf-8"?>
<sst xmlns="http://schemas.openxmlformats.org/spreadsheetml/2006/main" count="304" uniqueCount="174">
  <si>
    <t>Código</t>
  </si>
  <si>
    <t>Detalle</t>
  </si>
  <si>
    <t>Fecha entrega</t>
  </si>
  <si>
    <t>Cant. KG</t>
  </si>
  <si>
    <t>Cantidad</t>
  </si>
  <si>
    <t>Precio Unitario USD</t>
  </si>
  <si>
    <t>IVA %</t>
  </si>
  <si>
    <t>Importe USD</t>
  </si>
  <si>
    <t>17002</t>
  </si>
  <si>
    <t>Tubo CC Iram 2502 21.3x2.00mm</t>
  </si>
  <si>
    <t>25/02/2026</t>
  </si>
  <si>
    <t>6,4 mts</t>
  </si>
  <si>
    <t>17003</t>
  </si>
  <si>
    <t>Tubo CC Iram 2502 26.9x2.35mm</t>
  </si>
  <si>
    <t>17004</t>
  </si>
  <si>
    <t>Tubo CC Iram 2502 33.7x2.60mm</t>
  </si>
  <si>
    <t>17005</t>
  </si>
  <si>
    <t>Tubo CC Iram 2502 42.4x2.60mm</t>
  </si>
  <si>
    <t>17006</t>
  </si>
  <si>
    <t>Tubo CC Iram 2502 48.3x2.90mm</t>
  </si>
  <si>
    <t>17007</t>
  </si>
  <si>
    <t>Tubo CC Iram 2502 60.3x2.90mm</t>
  </si>
  <si>
    <t>17008</t>
  </si>
  <si>
    <t>Tubo CC Iram 2502 76.1x3.25mm</t>
  </si>
  <si>
    <t>17009</t>
  </si>
  <si>
    <t>Tubo CC Iram 2502 88.9x3.20mm</t>
  </si>
  <si>
    <t>17000</t>
  </si>
  <si>
    <t>Tubo CC Iram 2502 114.3x3.60mm</t>
  </si>
  <si>
    <t>11003</t>
  </si>
  <si>
    <t>Tubo CC 168.3x4.75mm Uso Estructural</t>
  </si>
  <si>
    <t>1 mts</t>
  </si>
  <si>
    <t>19039</t>
  </si>
  <si>
    <t>Codo Radio Largo 90° 1/2'' STD ASME B16.9 A234-WPB</t>
  </si>
  <si>
    <t>1 Unid</t>
  </si>
  <si>
    <t>19041</t>
  </si>
  <si>
    <t>Codo Radio Largo 90° 3/4'' STD ASME B16.9 A234-WPB</t>
  </si>
  <si>
    <t>19045</t>
  </si>
  <si>
    <t>Codo Radio Largo 90° 1'' STD ASME B16.9 A234-WPB</t>
  </si>
  <si>
    <t>19048</t>
  </si>
  <si>
    <t>Codo Radio Largo 90° 1.1/4'' STD ASME B16.9 A234-WPB</t>
  </si>
  <si>
    <t>19051</t>
  </si>
  <si>
    <t>Codo Radio Largo 90° 1.1/2'' STD ASME B16.9 A234-WPB</t>
  </si>
  <si>
    <t>19056</t>
  </si>
  <si>
    <t>Codo Radio Largo 90° 2'' STD ASME B16.9 A234-WPB</t>
  </si>
  <si>
    <t>19059</t>
  </si>
  <si>
    <t>Codo Radio Largo 90° 2.1/2'' STD ASME B16.9 A234-WPB</t>
  </si>
  <si>
    <t>19063</t>
  </si>
  <si>
    <t>Codo Radio Largo 90° 3'' STD ASME B16.9 A234-WPB</t>
  </si>
  <si>
    <t>19070</t>
  </si>
  <si>
    <t>Codo Radio Largo 90° 4'' STD ASME B16.9 A234-WPB</t>
  </si>
  <si>
    <t>19077</t>
  </si>
  <si>
    <t>Codo Radio Largo 90° 6'' STD ASME B16.9 A234-WPB</t>
  </si>
  <si>
    <t>23000</t>
  </si>
  <si>
    <t>Casq. Semielíptico 1'' STD ASME B16.9 A234-WPB</t>
  </si>
  <si>
    <t>23001</t>
  </si>
  <si>
    <t>Casq. Semielíptico 1.1/4'' STD ASME B16.9 A234-WPB</t>
  </si>
  <si>
    <t>23002</t>
  </si>
  <si>
    <t>Casq. Semielíptico 1.1/2'' STD ASME B16.9 A234-WPB</t>
  </si>
  <si>
    <t>23004</t>
  </si>
  <si>
    <t>Casq. Semielíptico 2'' STD ASME B16.9 A234-WPB</t>
  </si>
  <si>
    <t>23005</t>
  </si>
  <si>
    <t>Casq. Semielíptico 2.1/2'' STD ASME B16.9 A234-WPB</t>
  </si>
  <si>
    <t>23007</t>
  </si>
  <si>
    <t>Casq. Semielíptico 3'' STD ASME B16.9 A234-WPB</t>
  </si>
  <si>
    <t>23009</t>
  </si>
  <si>
    <t>Casq. Semielíptico 4'' STD ASME B16.9 A234-WPB</t>
  </si>
  <si>
    <t>23011</t>
  </si>
  <si>
    <t>Casq. Semielíptico 6'' STD ASME B16.9 A234-WPB</t>
  </si>
  <si>
    <t>24001</t>
  </si>
  <si>
    <t>Te normal 1/2'' STD ASME B16.9 A234-WPB</t>
  </si>
  <si>
    <t>24003</t>
  </si>
  <si>
    <t>Te normal 3/4'' STD ASME B16.9 A234-WPB</t>
  </si>
  <si>
    <t>24005</t>
  </si>
  <si>
    <t>Te normal 1'' STD ASME B16.9 A234-WPB</t>
  </si>
  <si>
    <t>24007</t>
  </si>
  <si>
    <t>Te normal 1-1/4'' STD ASME B16.9 A234-WPB</t>
  </si>
  <si>
    <t>24009</t>
  </si>
  <si>
    <t>Te normal 1-1/2'' STD ASME B16.9 A234-WPB</t>
  </si>
  <si>
    <t>24012</t>
  </si>
  <si>
    <t>Te normal 2'' STD ASME B16.9 A234-WPB</t>
  </si>
  <si>
    <t>24013</t>
  </si>
  <si>
    <t>Te normal 2-1/2'' STD ASME B16.9 A234-WPB</t>
  </si>
  <si>
    <t>24015</t>
  </si>
  <si>
    <t>Te normal 3'' STD ASME B16.9 A234-WPB</t>
  </si>
  <si>
    <t>24018</t>
  </si>
  <si>
    <t>Te normal 4'' STD ASME B16.9 A234-WPB</t>
  </si>
  <si>
    <t>24020</t>
  </si>
  <si>
    <t>Te normal 6'' STD ASME B16.9 A234-WPB</t>
  </si>
  <si>
    <t>113002</t>
  </si>
  <si>
    <t>Niple Negro Sch 40 1'' L=100 mm</t>
  </si>
  <si>
    <t>113003</t>
  </si>
  <si>
    <t>Niple Negro Sch 40 1-1/4'' L=100 mm</t>
  </si>
  <si>
    <t>113004</t>
  </si>
  <si>
    <t>Niple Negro Sch 40 1-1/2'' L=100 mm</t>
  </si>
  <si>
    <t>113005</t>
  </si>
  <si>
    <t>Niple Negro Sch 40 2'' L=100 mm</t>
  </si>
  <si>
    <t>113006</t>
  </si>
  <si>
    <t>Niple Negro Sch 40 2-1/2'' L=100 mm</t>
  </si>
  <si>
    <t>113007</t>
  </si>
  <si>
    <t>Niple Negro Sch 40 3'' L=100 mm</t>
  </si>
  <si>
    <t>21002</t>
  </si>
  <si>
    <t>Red. Concéntrica 1''x1/2'' STD ASME B16.9 A234-WPB</t>
  </si>
  <si>
    <t>21004</t>
  </si>
  <si>
    <t>Red. Concéntrica 1''x3/4'' STD ASME B16.9 A234-WPB</t>
  </si>
  <si>
    <t>21008</t>
  </si>
  <si>
    <t>Red. Concéntrica 1.1/2''x1/2'' STD ASME B16.9 A234-WPB</t>
  </si>
  <si>
    <t>21011</t>
  </si>
  <si>
    <t>Red. Concéntrica 1.1/2''x3/4'' STD ASME B16.9 A234-WPB</t>
  </si>
  <si>
    <t>21013</t>
  </si>
  <si>
    <t>Red. Concéntrica 1.1/2''x1'' STD ASME B16.9 A234-WPB</t>
  </si>
  <si>
    <t>21017</t>
  </si>
  <si>
    <t>Red. Concéntrica 2''x3/4'' STD ASME B16.9 A234-WPB</t>
  </si>
  <si>
    <t>21022</t>
  </si>
  <si>
    <t>Red. Concéntrica 2''x1.1/2'' STD ASME B16.9 A234-WPB</t>
  </si>
  <si>
    <t>21025</t>
  </si>
  <si>
    <t>Red. Concéntrica 2.1/2''x1'' STD ASME B16.9 A234-WPB</t>
  </si>
  <si>
    <t>21029</t>
  </si>
  <si>
    <t>Red. Concéntrica 2.1/2''x1.1/2'' STD ASME B16.9 A234-WPB</t>
  </si>
  <si>
    <t>21031</t>
  </si>
  <si>
    <t>Red. Concéntrica 2.1/2''x2'' STD ASME B16.9 A234-WPB</t>
  </si>
  <si>
    <t>114500</t>
  </si>
  <si>
    <t>Cupla Negra Sch 40 1/2''</t>
  </si>
  <si>
    <t>114501</t>
  </si>
  <si>
    <t>Cupla Negra Sch 40 3/4''</t>
  </si>
  <si>
    <t>27000</t>
  </si>
  <si>
    <t>Brida SO RF S150 1/2'' A105 B 16.5</t>
  </si>
  <si>
    <t>27001</t>
  </si>
  <si>
    <t>Brida SO RF S150 3/4'' A105 B 16.5</t>
  </si>
  <si>
    <t>27002</t>
  </si>
  <si>
    <t>Brida SO RF S150 1'' A105 B 16.5</t>
  </si>
  <si>
    <t>27003</t>
  </si>
  <si>
    <t>Brida SO RF S150 1.1/4'' A105 B 16.5</t>
  </si>
  <si>
    <t>27004</t>
  </si>
  <si>
    <t>Brida SO RF S150 1.1/2'' A105 B 16.5</t>
  </si>
  <si>
    <t>27005</t>
  </si>
  <si>
    <t>Brida SO RF S150 2'' A105 B 16.5</t>
  </si>
  <si>
    <t>27006</t>
  </si>
  <si>
    <t>Brida SO RF S150 2.1/2'' A105 B 16.5</t>
  </si>
  <si>
    <t>27007</t>
  </si>
  <si>
    <t>Brida SO RF S150 3'' A105 B 16.5</t>
  </si>
  <si>
    <t>27009</t>
  </si>
  <si>
    <t>Brida SO RF S150 4'' A105 B 16.5</t>
  </si>
  <si>
    <t>27011</t>
  </si>
  <si>
    <t>Brida SO RF S150 6'' A105 B 16.5</t>
  </si>
  <si>
    <t>TOTAL ITEMS</t>
  </si>
  <si>
    <t>Presupuesto Nº 00101-00048018 - PASTORINO SEGURIDAD SRL</t>
  </si>
  <si>
    <t>Resumen por familia</t>
  </si>
  <si>
    <t>Familia</t>
  </si>
  <si>
    <t>Ítems</t>
  </si>
  <si>
    <t>KG</t>
  </si>
  <si>
    <t>Cliente</t>
  </si>
  <si>
    <t>PASTORINO SEGURIDAD SRL</t>
  </si>
  <si>
    <t>Tubos</t>
  </si>
  <si>
    <t>Fecha presupuesto</t>
  </si>
  <si>
    <t>Codos</t>
  </si>
  <si>
    <t>Moneda</t>
  </si>
  <si>
    <t>USD - Cotización dólar: 1.400,00 - Tipo Billete</t>
  </si>
  <si>
    <t>Casquetes</t>
  </si>
  <si>
    <t>Condición</t>
  </si>
  <si>
    <t>Con valores a 30 días desde FF</t>
  </si>
  <si>
    <t>Te normal</t>
  </si>
  <si>
    <t>Niples</t>
  </si>
  <si>
    <t>Subtotal según PDF</t>
  </si>
  <si>
    <t>Reducciones</t>
  </si>
  <si>
    <t>Subtotal calculado por ítems</t>
  </si>
  <si>
    <t>Cuplas</t>
  </si>
  <si>
    <t>IVA Ventas 21%</t>
  </si>
  <si>
    <t>Bridas</t>
  </si>
  <si>
    <t>Percepción Municipal Com.Ind. y Serv.</t>
  </si>
  <si>
    <t>Percepción IIBB Córdoba</t>
  </si>
  <si>
    <t>Impuestos</t>
  </si>
  <si>
    <t>TOTAL</t>
  </si>
  <si>
    <t>Total Kgs.</t>
  </si>
  <si>
    <t>Cantidad de ítems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</si>
</sst>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$S&quot; #,##0.00"/>
  </numFmts>
  <fonts count="5">
    <font>
      <sz val="11.0"/>
      <color rgb="FF000000"/>
      <name val="Arial"/>
      <scheme val="minor"/>
    </font>
    <font>
      <b/>
      <sz val="11.0"/>
      <color rgb="FFFFFFFF"/>
      <name val="Carlito"/>
    </font>
    <font>
      <sz val="11.0"/>
      <name val="Carlito"/>
    </font>
    <font>
      <b/>
      <sz val="14.0"/>
      <color rgb="FFFFFFFF"/>
      <name val="Carlito"/>
    </font>
    <font>
      <b/>
      <sz val="11.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</fills>
  <borders count="6">
    <border/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2" fontId="3" numFmtId="0" xfId="0" applyAlignment="1" applyFont="1">
      <alignment horizontal="center"/>
    </xf>
    <xf borderId="0" fillId="2" fontId="1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3" fontId="4" numFmtId="0" xfId="0" applyBorder="1" applyFill="1" applyFont="1"/>
    <xf borderId="0" fillId="0" fontId="2" numFmtId="0" xfId="0" applyFont="1"/>
    <xf borderId="0" fillId="0" fontId="2" numFmtId="2" xfId="0" applyFont="1" applyNumberFormat="1"/>
    <xf borderId="0" fillId="0" fontId="2" numFmtId="164" xfId="0" applyFont="1" applyNumberFormat="1"/>
    <xf borderId="4" fillId="3" fontId="4" numFmtId="0" xfId="0" applyBorder="1" applyFont="1"/>
    <xf borderId="4" fillId="4" fontId="4" numFmtId="0" xfId="0" applyBorder="1" applyFill="1" applyFont="1"/>
    <xf borderId="5" fillId="4" fontId="4" numFmtId="164" xfId="0" applyBorder="1" applyFont="1" applyNumberFormat="1"/>
    <xf borderId="0" fillId="0" fontId="2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Ite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7" displayName="Table_1" name="Table_1" id="1">
  <tableColumns count="8">
    <tableColumn name="Código" id="1"/>
    <tableColumn name="Detalle" id="2"/>
    <tableColumn name="Fecha entrega" id="3"/>
    <tableColumn name="Cant. KG" id="4"/>
    <tableColumn name="Cantidad" id="5"/>
    <tableColumn name="Precio Unitario USD" id="6"/>
    <tableColumn name="IVA %" id="7"/>
    <tableColumn name="Importe USD" id="8"/>
  </tableColumns>
  <tableStyleInfo name="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5.0"/>
    <col customWidth="1" min="3" max="3" width="14.0"/>
    <col customWidth="1" min="4" max="4" width="11.0"/>
    <col customWidth="1" min="5" max="5" width="12.0"/>
    <col customWidth="1" min="6" max="6" width="18.0"/>
    <col customWidth="1" min="7" max="7" width="9.0"/>
    <col customWidth="1" min="8" max="8" width="14.0"/>
    <col customWidth="1" min="9" max="11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5">
        <v>6.08</v>
      </c>
      <c r="E2" s="4" t="s">
        <v>11</v>
      </c>
      <c r="F2" s="6">
        <v>1.68</v>
      </c>
      <c r="G2" s="5">
        <v>21.0</v>
      </c>
      <c r="H2" s="6">
        <v>10.77</v>
      </c>
    </row>
    <row r="3">
      <c r="A3" s="4" t="s">
        <v>12</v>
      </c>
      <c r="B3" s="4" t="s">
        <v>13</v>
      </c>
      <c r="C3" s="4" t="s">
        <v>10</v>
      </c>
      <c r="D3" s="5">
        <v>7.81</v>
      </c>
      <c r="E3" s="4" t="s">
        <v>11</v>
      </c>
      <c r="F3" s="6">
        <v>2.11</v>
      </c>
      <c r="G3" s="5">
        <v>21.0</v>
      </c>
      <c r="H3" s="6">
        <v>13.53</v>
      </c>
    </row>
    <row r="4">
      <c r="A4" s="4" t="s">
        <v>14</v>
      </c>
      <c r="B4" s="4" t="s">
        <v>15</v>
      </c>
      <c r="C4" s="4" t="s">
        <v>10</v>
      </c>
      <c r="D4" s="5">
        <v>12.67</v>
      </c>
      <c r="E4" s="4" t="s">
        <v>11</v>
      </c>
      <c r="F4" s="6">
        <v>3.2</v>
      </c>
      <c r="G4" s="5">
        <v>21.0</v>
      </c>
      <c r="H4" s="6">
        <v>20.5</v>
      </c>
    </row>
    <row r="5">
      <c r="A5" s="4" t="s">
        <v>16</v>
      </c>
      <c r="B5" s="4" t="s">
        <v>17</v>
      </c>
      <c r="C5" s="4" t="s">
        <v>10</v>
      </c>
      <c r="D5" s="5">
        <v>16.32</v>
      </c>
      <c r="E5" s="4" t="s">
        <v>11</v>
      </c>
      <c r="F5" s="6">
        <v>4.02</v>
      </c>
      <c r="G5" s="5">
        <v>21.0</v>
      </c>
      <c r="H5" s="6">
        <v>25.75</v>
      </c>
    </row>
    <row r="6">
      <c r="A6" s="4" t="s">
        <v>18</v>
      </c>
      <c r="B6" s="4" t="s">
        <v>19</v>
      </c>
      <c r="C6" s="4" t="s">
        <v>10</v>
      </c>
      <c r="D6" s="5">
        <v>20.8</v>
      </c>
      <c r="E6" s="4" t="s">
        <v>11</v>
      </c>
      <c r="F6" s="6">
        <v>4.65</v>
      </c>
      <c r="G6" s="5">
        <v>21.0</v>
      </c>
      <c r="H6" s="6">
        <v>29.77</v>
      </c>
    </row>
    <row r="7">
      <c r="A7" s="4" t="s">
        <v>20</v>
      </c>
      <c r="B7" s="4" t="s">
        <v>21</v>
      </c>
      <c r="C7" s="4" t="s">
        <v>10</v>
      </c>
      <c r="D7" s="5">
        <v>26.3</v>
      </c>
      <c r="E7" s="4" t="s">
        <v>11</v>
      </c>
      <c r="F7" s="6">
        <v>6.56</v>
      </c>
      <c r="G7" s="5">
        <v>21.0</v>
      </c>
      <c r="H7" s="6">
        <v>42.01</v>
      </c>
    </row>
    <row r="8">
      <c r="A8" s="4" t="s">
        <v>22</v>
      </c>
      <c r="B8" s="4" t="s">
        <v>23</v>
      </c>
      <c r="C8" s="4" t="s">
        <v>10</v>
      </c>
      <c r="D8" s="5">
        <v>37.44</v>
      </c>
      <c r="E8" s="4" t="s">
        <v>11</v>
      </c>
      <c r="F8" s="6">
        <v>8.32</v>
      </c>
      <c r="G8" s="5">
        <v>21.0</v>
      </c>
      <c r="H8" s="6">
        <v>53.22</v>
      </c>
    </row>
    <row r="9">
      <c r="A9" s="4" t="s">
        <v>24</v>
      </c>
      <c r="B9" s="4" t="s">
        <v>25</v>
      </c>
      <c r="C9" s="4" t="s">
        <v>10</v>
      </c>
      <c r="D9" s="5">
        <v>43.33</v>
      </c>
      <c r="E9" s="4" t="s">
        <v>11</v>
      </c>
      <c r="F9" s="6">
        <v>10.94</v>
      </c>
      <c r="G9" s="5">
        <v>21.0</v>
      </c>
      <c r="H9" s="6">
        <v>70.03</v>
      </c>
    </row>
    <row r="10">
      <c r="A10" s="4" t="s">
        <v>26</v>
      </c>
      <c r="B10" s="4" t="s">
        <v>27</v>
      </c>
      <c r="C10" s="4" t="s">
        <v>10</v>
      </c>
      <c r="D10" s="5">
        <v>62.98</v>
      </c>
      <c r="E10" s="4" t="s">
        <v>11</v>
      </c>
      <c r="F10" s="6">
        <v>15.71</v>
      </c>
      <c r="G10" s="5">
        <v>21.0</v>
      </c>
      <c r="H10" s="6">
        <v>100.52</v>
      </c>
    </row>
    <row r="11">
      <c r="A11" s="4" t="s">
        <v>28</v>
      </c>
      <c r="B11" s="4" t="s">
        <v>29</v>
      </c>
      <c r="C11" s="4" t="s">
        <v>10</v>
      </c>
      <c r="D11" s="5">
        <v>19.38</v>
      </c>
      <c r="E11" s="4" t="s">
        <v>30</v>
      </c>
      <c r="F11" s="6">
        <v>30.96</v>
      </c>
      <c r="G11" s="5">
        <v>21.0</v>
      </c>
      <c r="H11" s="6">
        <v>30.96</v>
      </c>
    </row>
    <row r="12">
      <c r="A12" s="4" t="s">
        <v>31</v>
      </c>
      <c r="B12" s="4" t="s">
        <v>32</v>
      </c>
      <c r="C12" s="4" t="s">
        <v>10</v>
      </c>
      <c r="D12" s="5">
        <v>0.08</v>
      </c>
      <c r="E12" s="4" t="s">
        <v>33</v>
      </c>
      <c r="F12" s="6">
        <v>2.99</v>
      </c>
      <c r="G12" s="5">
        <v>21.0</v>
      </c>
      <c r="H12" s="6">
        <v>2.99</v>
      </c>
    </row>
    <row r="13">
      <c r="A13" s="4" t="s">
        <v>34</v>
      </c>
      <c r="B13" s="4" t="s">
        <v>35</v>
      </c>
      <c r="C13" s="4" t="s">
        <v>10</v>
      </c>
      <c r="D13" s="5">
        <v>0.08</v>
      </c>
      <c r="E13" s="4" t="s">
        <v>33</v>
      </c>
      <c r="F13" s="6">
        <v>3.08</v>
      </c>
      <c r="G13" s="5">
        <v>21.0</v>
      </c>
      <c r="H13" s="6">
        <v>3.08</v>
      </c>
    </row>
    <row r="14">
      <c r="A14" s="4" t="s">
        <v>36</v>
      </c>
      <c r="B14" s="4" t="s">
        <v>37</v>
      </c>
      <c r="C14" s="4" t="s">
        <v>10</v>
      </c>
      <c r="D14" s="5">
        <v>0.15</v>
      </c>
      <c r="E14" s="4" t="s">
        <v>33</v>
      </c>
      <c r="F14" s="6">
        <v>3.64</v>
      </c>
      <c r="G14" s="5">
        <v>21.0</v>
      </c>
      <c r="H14" s="6">
        <v>3.64</v>
      </c>
    </row>
    <row r="15">
      <c r="A15" s="4" t="s">
        <v>38</v>
      </c>
      <c r="B15" s="4" t="s">
        <v>39</v>
      </c>
      <c r="C15" s="4" t="s">
        <v>10</v>
      </c>
      <c r="D15" s="5">
        <v>0.25</v>
      </c>
      <c r="E15" s="4" t="s">
        <v>33</v>
      </c>
      <c r="F15" s="6">
        <v>3.73</v>
      </c>
      <c r="G15" s="5">
        <v>21.0</v>
      </c>
      <c r="H15" s="6">
        <v>3.73</v>
      </c>
    </row>
    <row r="16">
      <c r="A16" s="4" t="s">
        <v>40</v>
      </c>
      <c r="B16" s="4" t="s">
        <v>41</v>
      </c>
      <c r="C16" s="4" t="s">
        <v>10</v>
      </c>
      <c r="D16" s="5">
        <v>0.37</v>
      </c>
      <c r="E16" s="4" t="s">
        <v>33</v>
      </c>
      <c r="F16" s="6">
        <v>4.01</v>
      </c>
      <c r="G16" s="5">
        <v>21.0</v>
      </c>
      <c r="H16" s="6">
        <v>4.01</v>
      </c>
    </row>
    <row r="17">
      <c r="A17" s="4" t="s">
        <v>42</v>
      </c>
      <c r="B17" s="4" t="s">
        <v>43</v>
      </c>
      <c r="C17" s="4" t="s">
        <v>10</v>
      </c>
      <c r="D17" s="5">
        <v>0.72</v>
      </c>
      <c r="E17" s="4" t="s">
        <v>33</v>
      </c>
      <c r="F17" s="6">
        <v>5.67</v>
      </c>
      <c r="G17" s="5">
        <v>21.0</v>
      </c>
      <c r="H17" s="6">
        <v>5.67</v>
      </c>
    </row>
    <row r="18">
      <c r="A18" s="4" t="s">
        <v>44</v>
      </c>
      <c r="B18" s="4" t="s">
        <v>45</v>
      </c>
      <c r="C18" s="4" t="s">
        <v>10</v>
      </c>
      <c r="D18" s="5">
        <v>1.42</v>
      </c>
      <c r="E18" s="4" t="s">
        <v>33</v>
      </c>
      <c r="F18" s="6">
        <v>9.74</v>
      </c>
      <c r="G18" s="5">
        <v>21.0</v>
      </c>
      <c r="H18" s="6">
        <v>9.74</v>
      </c>
    </row>
    <row r="19">
      <c r="A19" s="4" t="s">
        <v>46</v>
      </c>
      <c r="B19" s="4" t="s">
        <v>47</v>
      </c>
      <c r="C19" s="4" t="s">
        <v>10</v>
      </c>
      <c r="D19" s="5">
        <v>2.4</v>
      </c>
      <c r="E19" s="4" t="s">
        <v>33</v>
      </c>
      <c r="F19" s="6">
        <v>13.45</v>
      </c>
      <c r="G19" s="5">
        <v>21.0</v>
      </c>
      <c r="H19" s="6">
        <v>13.45</v>
      </c>
    </row>
    <row r="20">
      <c r="A20" s="4" t="s">
        <v>48</v>
      </c>
      <c r="B20" s="4" t="s">
        <v>49</v>
      </c>
      <c r="C20" s="4" t="s">
        <v>10</v>
      </c>
      <c r="D20" s="5">
        <v>4.4</v>
      </c>
      <c r="E20" s="4" t="s">
        <v>33</v>
      </c>
      <c r="F20" s="6">
        <v>24.45</v>
      </c>
      <c r="G20" s="5">
        <v>21.0</v>
      </c>
      <c r="H20" s="6">
        <v>24.45</v>
      </c>
    </row>
    <row r="21" ht="15.75" customHeight="1">
      <c r="A21" s="4" t="s">
        <v>50</v>
      </c>
      <c r="B21" s="4" t="s">
        <v>51</v>
      </c>
      <c r="C21" s="4" t="s">
        <v>10</v>
      </c>
      <c r="D21" s="5">
        <v>11.6</v>
      </c>
      <c r="E21" s="4" t="s">
        <v>33</v>
      </c>
      <c r="F21" s="6">
        <v>56.39</v>
      </c>
      <c r="G21" s="5">
        <v>21.0</v>
      </c>
      <c r="H21" s="6">
        <v>56.39</v>
      </c>
    </row>
    <row r="22" ht="15.75" customHeight="1">
      <c r="A22" s="4" t="s">
        <v>52</v>
      </c>
      <c r="B22" s="4" t="s">
        <v>53</v>
      </c>
      <c r="C22" s="4" t="s">
        <v>10</v>
      </c>
      <c r="D22" s="5">
        <v>0.15</v>
      </c>
      <c r="E22" s="4" t="s">
        <v>33</v>
      </c>
      <c r="F22" s="6">
        <v>3.71</v>
      </c>
      <c r="G22" s="5">
        <v>21.0</v>
      </c>
      <c r="H22" s="6">
        <v>3.71</v>
      </c>
    </row>
    <row r="23" ht="15.75" customHeight="1">
      <c r="A23" s="4" t="s">
        <v>54</v>
      </c>
      <c r="B23" s="4" t="s">
        <v>55</v>
      </c>
      <c r="C23" s="4" t="s">
        <v>10</v>
      </c>
      <c r="D23" s="5">
        <v>0.14</v>
      </c>
      <c r="E23" s="4" t="s">
        <v>33</v>
      </c>
      <c r="F23" s="6">
        <v>3.74</v>
      </c>
      <c r="G23" s="5">
        <v>21.0</v>
      </c>
      <c r="H23" s="6">
        <v>3.74</v>
      </c>
    </row>
    <row r="24" ht="15.75" customHeight="1">
      <c r="A24" s="4" t="s">
        <v>56</v>
      </c>
      <c r="B24" s="4" t="s">
        <v>57</v>
      </c>
      <c r="C24" s="4" t="s">
        <v>10</v>
      </c>
      <c r="D24" s="5">
        <v>0.19</v>
      </c>
      <c r="E24" s="4" t="s">
        <v>33</v>
      </c>
      <c r="F24" s="6">
        <v>4.13</v>
      </c>
      <c r="G24" s="5">
        <v>21.0</v>
      </c>
      <c r="H24" s="6">
        <v>4.13</v>
      </c>
    </row>
    <row r="25" ht="15.75" customHeight="1">
      <c r="A25" s="4" t="s">
        <v>58</v>
      </c>
      <c r="B25" s="4" t="s">
        <v>59</v>
      </c>
      <c r="C25" s="4" t="s">
        <v>10</v>
      </c>
      <c r="D25" s="5">
        <v>0.24</v>
      </c>
      <c r="E25" s="4" t="s">
        <v>33</v>
      </c>
      <c r="F25" s="6">
        <v>5.1</v>
      </c>
      <c r="G25" s="5">
        <v>21.0</v>
      </c>
      <c r="H25" s="6">
        <v>5.1</v>
      </c>
    </row>
    <row r="26" ht="15.75" customHeight="1">
      <c r="A26" s="4" t="s">
        <v>60</v>
      </c>
      <c r="B26" s="4" t="s">
        <v>61</v>
      </c>
      <c r="C26" s="4" t="s">
        <v>10</v>
      </c>
      <c r="D26" s="5">
        <v>0.39</v>
      </c>
      <c r="E26" s="4" t="s">
        <v>33</v>
      </c>
      <c r="F26" s="6">
        <v>6.29</v>
      </c>
      <c r="G26" s="5">
        <v>21.0</v>
      </c>
      <c r="H26" s="6">
        <v>6.29</v>
      </c>
    </row>
    <row r="27" ht="15.75" customHeight="1">
      <c r="A27" s="4" t="s">
        <v>62</v>
      </c>
      <c r="B27" s="4" t="s">
        <v>63</v>
      </c>
      <c r="C27" s="4" t="s">
        <v>10</v>
      </c>
      <c r="D27" s="5">
        <v>0.69</v>
      </c>
      <c r="E27" s="4" t="s">
        <v>33</v>
      </c>
      <c r="F27" s="6">
        <v>7.05</v>
      </c>
      <c r="G27" s="5">
        <v>21.0</v>
      </c>
      <c r="H27" s="6">
        <v>7.05</v>
      </c>
    </row>
    <row r="28" ht="15.75" customHeight="1">
      <c r="A28" s="4" t="s">
        <v>64</v>
      </c>
      <c r="B28" s="4" t="s">
        <v>65</v>
      </c>
      <c r="C28" s="4" t="s">
        <v>10</v>
      </c>
      <c r="D28" s="5">
        <v>1.1</v>
      </c>
      <c r="E28" s="4" t="s">
        <v>33</v>
      </c>
      <c r="F28" s="6">
        <v>12.49</v>
      </c>
      <c r="G28" s="5">
        <v>21.0</v>
      </c>
      <c r="H28" s="6">
        <v>12.49</v>
      </c>
    </row>
    <row r="29" ht="15.75" customHeight="1">
      <c r="A29" s="4" t="s">
        <v>66</v>
      </c>
      <c r="B29" s="4" t="s">
        <v>67</v>
      </c>
      <c r="C29" s="4" t="s">
        <v>10</v>
      </c>
      <c r="D29" s="5">
        <v>2.9</v>
      </c>
      <c r="E29" s="4" t="s">
        <v>33</v>
      </c>
      <c r="F29" s="6">
        <v>24.04</v>
      </c>
      <c r="G29" s="5">
        <v>21.0</v>
      </c>
      <c r="H29" s="6">
        <v>24.04</v>
      </c>
    </row>
    <row r="30" ht="15.75" customHeight="1">
      <c r="A30" s="4" t="s">
        <v>68</v>
      </c>
      <c r="B30" s="4" t="s">
        <v>69</v>
      </c>
      <c r="C30" s="4" t="s">
        <v>10</v>
      </c>
      <c r="D30" s="5">
        <v>0.12</v>
      </c>
      <c r="E30" s="4" t="s">
        <v>33</v>
      </c>
      <c r="F30" s="6">
        <v>8.3</v>
      </c>
      <c r="G30" s="5">
        <v>21.0</v>
      </c>
      <c r="H30" s="6">
        <v>8.3</v>
      </c>
    </row>
    <row r="31" ht="15.75" customHeight="1">
      <c r="A31" s="4" t="s">
        <v>70</v>
      </c>
      <c r="B31" s="4" t="s">
        <v>71</v>
      </c>
      <c r="C31" s="4" t="s">
        <v>10</v>
      </c>
      <c r="D31" s="5">
        <v>0.15</v>
      </c>
      <c r="E31" s="4" t="s">
        <v>33</v>
      </c>
      <c r="F31" s="6">
        <v>8.72</v>
      </c>
      <c r="G31" s="5">
        <v>21.0</v>
      </c>
      <c r="H31" s="6">
        <v>8.72</v>
      </c>
    </row>
    <row r="32" ht="15.75" customHeight="1">
      <c r="A32" s="4" t="s">
        <v>72</v>
      </c>
      <c r="B32" s="4" t="s">
        <v>73</v>
      </c>
      <c r="C32" s="4" t="s">
        <v>10</v>
      </c>
      <c r="D32" s="5">
        <v>0.35</v>
      </c>
      <c r="E32" s="4" t="s">
        <v>33</v>
      </c>
      <c r="F32" s="6">
        <v>8.93</v>
      </c>
      <c r="G32" s="5">
        <v>21.0</v>
      </c>
      <c r="H32" s="6">
        <v>8.93</v>
      </c>
    </row>
    <row r="33" ht="15.75" customHeight="1">
      <c r="A33" s="4" t="s">
        <v>74</v>
      </c>
      <c r="B33" s="4" t="s">
        <v>75</v>
      </c>
      <c r="C33" s="4" t="s">
        <v>10</v>
      </c>
      <c r="D33" s="5">
        <v>0.61</v>
      </c>
      <c r="E33" s="4" t="s">
        <v>33</v>
      </c>
      <c r="F33" s="6">
        <v>11.99</v>
      </c>
      <c r="G33" s="5">
        <v>21.0</v>
      </c>
      <c r="H33" s="6">
        <v>11.99</v>
      </c>
    </row>
    <row r="34" ht="15.75" customHeight="1">
      <c r="A34" s="4" t="s">
        <v>76</v>
      </c>
      <c r="B34" s="4" t="s">
        <v>77</v>
      </c>
      <c r="C34" s="4" t="s">
        <v>10</v>
      </c>
      <c r="D34" s="5">
        <v>0.84</v>
      </c>
      <c r="E34" s="4" t="s">
        <v>33</v>
      </c>
      <c r="F34" s="6">
        <v>12.18</v>
      </c>
      <c r="G34" s="5">
        <v>21.0</v>
      </c>
      <c r="H34" s="6">
        <v>12.18</v>
      </c>
    </row>
    <row r="35" ht="15.75" customHeight="1">
      <c r="A35" s="4" t="s">
        <v>78</v>
      </c>
      <c r="B35" s="4" t="s">
        <v>79</v>
      </c>
      <c r="C35" s="4" t="s">
        <v>10</v>
      </c>
      <c r="D35" s="5">
        <v>1.16</v>
      </c>
      <c r="E35" s="4" t="s">
        <v>33</v>
      </c>
      <c r="F35" s="6">
        <v>12.5</v>
      </c>
      <c r="G35" s="5">
        <v>21.0</v>
      </c>
      <c r="H35" s="6">
        <v>12.5</v>
      </c>
    </row>
    <row r="36" ht="15.75" customHeight="1">
      <c r="A36" s="4" t="s">
        <v>80</v>
      </c>
      <c r="B36" s="4" t="s">
        <v>81</v>
      </c>
      <c r="C36" s="4" t="s">
        <v>10</v>
      </c>
      <c r="D36" s="5">
        <v>2.09</v>
      </c>
      <c r="E36" s="4" t="s">
        <v>33</v>
      </c>
      <c r="F36" s="6">
        <v>20.86</v>
      </c>
      <c r="G36" s="5">
        <v>21.0</v>
      </c>
      <c r="H36" s="6">
        <v>20.86</v>
      </c>
    </row>
    <row r="37" ht="15.75" customHeight="1">
      <c r="A37" s="4" t="s">
        <v>82</v>
      </c>
      <c r="B37" s="4" t="s">
        <v>83</v>
      </c>
      <c r="C37" s="4" t="s">
        <v>10</v>
      </c>
      <c r="D37" s="5">
        <v>3.09</v>
      </c>
      <c r="E37" s="4" t="s">
        <v>33</v>
      </c>
      <c r="F37" s="6">
        <v>26.46</v>
      </c>
      <c r="G37" s="5">
        <v>21.0</v>
      </c>
      <c r="H37" s="6">
        <v>26.46</v>
      </c>
    </row>
    <row r="38" ht="15.75" customHeight="1">
      <c r="A38" s="4" t="s">
        <v>84</v>
      </c>
      <c r="B38" s="4" t="s">
        <v>85</v>
      </c>
      <c r="C38" s="4" t="s">
        <v>10</v>
      </c>
      <c r="D38" s="5">
        <v>5.72</v>
      </c>
      <c r="E38" s="4" t="s">
        <v>33</v>
      </c>
      <c r="F38" s="6">
        <v>47.24</v>
      </c>
      <c r="G38" s="5">
        <v>21.0</v>
      </c>
      <c r="H38" s="6">
        <v>47.24</v>
      </c>
    </row>
    <row r="39" ht="15.75" customHeight="1">
      <c r="A39" s="4" t="s">
        <v>86</v>
      </c>
      <c r="B39" s="4" t="s">
        <v>87</v>
      </c>
      <c r="C39" s="4" t="s">
        <v>10</v>
      </c>
      <c r="D39" s="5">
        <v>12.2</v>
      </c>
      <c r="E39" s="4" t="s">
        <v>33</v>
      </c>
      <c r="F39" s="6">
        <v>97.61</v>
      </c>
      <c r="G39" s="5">
        <v>21.0</v>
      </c>
      <c r="H39" s="6">
        <v>97.61</v>
      </c>
    </row>
    <row r="40" ht="15.75" customHeight="1">
      <c r="A40" s="4" t="s">
        <v>88</v>
      </c>
      <c r="B40" s="4" t="s">
        <v>89</v>
      </c>
      <c r="C40" s="4" t="s">
        <v>10</v>
      </c>
      <c r="D40" s="5">
        <v>0.2</v>
      </c>
      <c r="E40" s="4" t="s">
        <v>33</v>
      </c>
      <c r="F40" s="6">
        <v>1.64</v>
      </c>
      <c r="G40" s="5">
        <v>21.0</v>
      </c>
      <c r="H40" s="6">
        <v>1.64</v>
      </c>
    </row>
    <row r="41" ht="15.75" customHeight="1">
      <c r="A41" s="4" t="s">
        <v>90</v>
      </c>
      <c r="B41" s="4" t="s">
        <v>91</v>
      </c>
      <c r="C41" s="4" t="s">
        <v>10</v>
      </c>
      <c r="D41" s="5">
        <v>0.2</v>
      </c>
      <c r="E41" s="4" t="s">
        <v>33</v>
      </c>
      <c r="F41" s="6">
        <v>2.73</v>
      </c>
      <c r="G41" s="5">
        <v>21.0</v>
      </c>
      <c r="H41" s="6">
        <v>2.73</v>
      </c>
    </row>
    <row r="42" ht="15.75" customHeight="1">
      <c r="A42" s="4" t="s">
        <v>92</v>
      </c>
      <c r="B42" s="4" t="s">
        <v>93</v>
      </c>
      <c r="C42" s="4" t="s">
        <v>10</v>
      </c>
      <c r="D42" s="5">
        <v>0.2</v>
      </c>
      <c r="E42" s="4" t="s">
        <v>33</v>
      </c>
      <c r="F42" s="6">
        <v>2.43</v>
      </c>
      <c r="G42" s="5">
        <v>21.0</v>
      </c>
      <c r="H42" s="6">
        <v>2.43</v>
      </c>
    </row>
    <row r="43" ht="15.75" customHeight="1">
      <c r="A43" s="4" t="s">
        <v>94</v>
      </c>
      <c r="B43" s="4" t="s">
        <v>95</v>
      </c>
      <c r="C43" s="4" t="s">
        <v>10</v>
      </c>
      <c r="D43" s="5">
        <v>0.2</v>
      </c>
      <c r="E43" s="4" t="s">
        <v>33</v>
      </c>
      <c r="F43" s="6">
        <v>3.74</v>
      </c>
      <c r="G43" s="5">
        <v>21.0</v>
      </c>
      <c r="H43" s="6">
        <v>3.74</v>
      </c>
    </row>
    <row r="44" ht="15.75" customHeight="1">
      <c r="A44" s="4" t="s">
        <v>96</v>
      </c>
      <c r="B44" s="4" t="s">
        <v>97</v>
      </c>
      <c r="C44" s="4" t="s">
        <v>10</v>
      </c>
      <c r="D44" s="5">
        <v>0.2</v>
      </c>
      <c r="E44" s="4" t="s">
        <v>33</v>
      </c>
      <c r="F44" s="6">
        <v>7.16</v>
      </c>
      <c r="G44" s="5">
        <v>21.0</v>
      </c>
      <c r="H44" s="6">
        <v>7.16</v>
      </c>
    </row>
    <row r="45" ht="15.75" customHeight="1">
      <c r="A45" s="4" t="s">
        <v>98</v>
      </c>
      <c r="B45" s="4" t="s">
        <v>99</v>
      </c>
      <c r="C45" s="4" t="s">
        <v>10</v>
      </c>
      <c r="D45" s="5">
        <v>0.2</v>
      </c>
      <c r="E45" s="4" t="s">
        <v>33</v>
      </c>
      <c r="F45" s="6">
        <v>7.71</v>
      </c>
      <c r="G45" s="5">
        <v>21.0</v>
      </c>
      <c r="H45" s="6">
        <v>7.71</v>
      </c>
    </row>
    <row r="46" ht="15.75" customHeight="1">
      <c r="A46" s="4" t="s">
        <v>100</v>
      </c>
      <c r="B46" s="4" t="s">
        <v>101</v>
      </c>
      <c r="C46" s="4" t="s">
        <v>10</v>
      </c>
      <c r="D46" s="5">
        <v>0.12</v>
      </c>
      <c r="E46" s="4" t="s">
        <v>33</v>
      </c>
      <c r="F46" s="6">
        <v>5.11</v>
      </c>
      <c r="G46" s="5">
        <v>21.0</v>
      </c>
      <c r="H46" s="6">
        <v>5.11</v>
      </c>
    </row>
    <row r="47" ht="15.75" customHeight="1">
      <c r="A47" s="4" t="s">
        <v>102</v>
      </c>
      <c r="B47" s="4" t="s">
        <v>103</v>
      </c>
      <c r="C47" s="4" t="s">
        <v>10</v>
      </c>
      <c r="D47" s="5">
        <v>0.12</v>
      </c>
      <c r="E47" s="4" t="s">
        <v>33</v>
      </c>
      <c r="F47" s="6">
        <v>4.91</v>
      </c>
      <c r="G47" s="5">
        <v>21.0</v>
      </c>
      <c r="H47" s="6">
        <v>4.91</v>
      </c>
    </row>
    <row r="48" ht="15.75" customHeight="1">
      <c r="A48" s="4" t="s">
        <v>104</v>
      </c>
      <c r="B48" s="4" t="s">
        <v>105</v>
      </c>
      <c r="C48" s="4" t="s">
        <v>10</v>
      </c>
      <c r="D48" s="5">
        <v>0.22</v>
      </c>
      <c r="E48" s="4" t="s">
        <v>33</v>
      </c>
      <c r="F48" s="6">
        <v>8.09</v>
      </c>
      <c r="G48" s="5">
        <v>21.0</v>
      </c>
      <c r="H48" s="6">
        <v>8.09</v>
      </c>
    </row>
    <row r="49" ht="15.75" customHeight="1">
      <c r="A49" s="4" t="s">
        <v>106</v>
      </c>
      <c r="B49" s="4" t="s">
        <v>107</v>
      </c>
      <c r="C49" s="4" t="s">
        <v>10</v>
      </c>
      <c r="D49" s="5">
        <v>0.23</v>
      </c>
      <c r="E49" s="4" t="s">
        <v>33</v>
      </c>
      <c r="F49" s="6">
        <v>7.07</v>
      </c>
      <c r="G49" s="5">
        <v>21.0</v>
      </c>
      <c r="H49" s="6">
        <v>7.07</v>
      </c>
    </row>
    <row r="50" ht="15.75" customHeight="1">
      <c r="A50" s="4" t="s">
        <v>108</v>
      </c>
      <c r="B50" s="4" t="s">
        <v>109</v>
      </c>
      <c r="C50" s="4" t="s">
        <v>10</v>
      </c>
      <c r="D50" s="5">
        <v>0.23</v>
      </c>
      <c r="E50" s="4" t="s">
        <v>33</v>
      </c>
      <c r="F50" s="6">
        <v>6.78</v>
      </c>
      <c r="G50" s="5">
        <v>21.0</v>
      </c>
      <c r="H50" s="6">
        <v>6.78</v>
      </c>
    </row>
    <row r="51" ht="15.75" customHeight="1">
      <c r="A51" s="4" t="s">
        <v>110</v>
      </c>
      <c r="B51" s="4" t="s">
        <v>111</v>
      </c>
      <c r="C51" s="4" t="s">
        <v>10</v>
      </c>
      <c r="D51" s="5">
        <v>0.38</v>
      </c>
      <c r="E51" s="4" t="s">
        <v>33</v>
      </c>
      <c r="F51" s="6">
        <v>13.15</v>
      </c>
      <c r="G51" s="5">
        <v>21.0</v>
      </c>
      <c r="H51" s="6">
        <v>13.15</v>
      </c>
    </row>
    <row r="52" ht="15.75" customHeight="1">
      <c r="A52" s="4" t="s">
        <v>112</v>
      </c>
      <c r="B52" s="4" t="s">
        <v>113</v>
      </c>
      <c r="C52" s="4" t="s">
        <v>10</v>
      </c>
      <c r="D52" s="5">
        <v>0.4</v>
      </c>
      <c r="E52" s="4" t="s">
        <v>33</v>
      </c>
      <c r="F52" s="6">
        <v>8.78</v>
      </c>
      <c r="G52" s="5">
        <v>21.0</v>
      </c>
      <c r="H52" s="6">
        <v>8.78</v>
      </c>
    </row>
    <row r="53" ht="15.75" customHeight="1">
      <c r="A53" s="4" t="s">
        <v>114</v>
      </c>
      <c r="B53" s="4" t="s">
        <v>115</v>
      </c>
      <c r="C53" s="4" t="s">
        <v>10</v>
      </c>
      <c r="D53" s="5">
        <v>0.67</v>
      </c>
      <c r="E53" s="4" t="s">
        <v>33</v>
      </c>
      <c r="F53" s="6">
        <v>16.38</v>
      </c>
      <c r="G53" s="5">
        <v>21.0</v>
      </c>
      <c r="H53" s="6">
        <v>16.38</v>
      </c>
    </row>
    <row r="54" ht="15.75" customHeight="1">
      <c r="A54" s="4" t="s">
        <v>116</v>
      </c>
      <c r="B54" s="4" t="s">
        <v>117</v>
      </c>
      <c r="C54" s="4" t="s">
        <v>10</v>
      </c>
      <c r="D54" s="5">
        <v>0.64</v>
      </c>
      <c r="E54" s="4" t="s">
        <v>33</v>
      </c>
      <c r="F54" s="6">
        <v>14.62</v>
      </c>
      <c r="G54" s="5">
        <v>21.0</v>
      </c>
      <c r="H54" s="6">
        <v>14.62</v>
      </c>
    </row>
    <row r="55" ht="15.75" customHeight="1">
      <c r="A55" s="4" t="s">
        <v>118</v>
      </c>
      <c r="B55" s="4" t="s">
        <v>119</v>
      </c>
      <c r="C55" s="4" t="s">
        <v>10</v>
      </c>
      <c r="D55" s="5">
        <v>0.69</v>
      </c>
      <c r="E55" s="4" t="s">
        <v>33</v>
      </c>
      <c r="F55" s="6">
        <v>10.66</v>
      </c>
      <c r="G55" s="5">
        <v>21.0</v>
      </c>
      <c r="H55" s="6">
        <v>10.66</v>
      </c>
    </row>
    <row r="56" ht="15.75" customHeight="1">
      <c r="A56" s="4" t="s">
        <v>120</v>
      </c>
      <c r="B56" s="4" t="s">
        <v>121</v>
      </c>
      <c r="C56" s="4" t="s">
        <v>10</v>
      </c>
      <c r="D56" s="5">
        <v>0.2</v>
      </c>
      <c r="E56" s="4" t="s">
        <v>33</v>
      </c>
      <c r="F56" s="6">
        <v>1.83</v>
      </c>
      <c r="G56" s="5">
        <v>21.0</v>
      </c>
      <c r="H56" s="6">
        <v>1.83</v>
      </c>
    </row>
    <row r="57" ht="15.75" customHeight="1">
      <c r="A57" s="4" t="s">
        <v>122</v>
      </c>
      <c r="B57" s="4" t="s">
        <v>123</v>
      </c>
      <c r="C57" s="4" t="s">
        <v>10</v>
      </c>
      <c r="D57" s="5">
        <v>0.2</v>
      </c>
      <c r="E57" s="4" t="s">
        <v>33</v>
      </c>
      <c r="F57" s="6">
        <v>2.13</v>
      </c>
      <c r="G57" s="5">
        <v>21.0</v>
      </c>
      <c r="H57" s="6">
        <v>2.13</v>
      </c>
    </row>
    <row r="58" ht="15.75" customHeight="1">
      <c r="A58" s="4" t="s">
        <v>124</v>
      </c>
      <c r="B58" s="4" t="s">
        <v>125</v>
      </c>
      <c r="C58" s="4" t="s">
        <v>10</v>
      </c>
      <c r="D58" s="5">
        <v>0.5</v>
      </c>
      <c r="E58" s="4" t="s">
        <v>33</v>
      </c>
      <c r="F58" s="6">
        <v>7.66</v>
      </c>
      <c r="G58" s="5">
        <v>21.0</v>
      </c>
      <c r="H58" s="6">
        <v>7.66</v>
      </c>
    </row>
    <row r="59" ht="15.75" customHeight="1">
      <c r="A59" s="4" t="s">
        <v>126</v>
      </c>
      <c r="B59" s="4" t="s">
        <v>127</v>
      </c>
      <c r="C59" s="4" t="s">
        <v>10</v>
      </c>
      <c r="D59" s="5">
        <v>0.7</v>
      </c>
      <c r="E59" s="4" t="s">
        <v>33</v>
      </c>
      <c r="F59" s="6">
        <v>7.66</v>
      </c>
      <c r="G59" s="5">
        <v>21.0</v>
      </c>
      <c r="H59" s="6">
        <v>7.66</v>
      </c>
    </row>
    <row r="60" ht="15.75" customHeight="1">
      <c r="A60" s="4" t="s">
        <v>128</v>
      </c>
      <c r="B60" s="4" t="s">
        <v>129</v>
      </c>
      <c r="C60" s="4" t="s">
        <v>10</v>
      </c>
      <c r="D60" s="5">
        <v>0.9</v>
      </c>
      <c r="E60" s="4" t="s">
        <v>33</v>
      </c>
      <c r="F60" s="6">
        <v>7.66</v>
      </c>
      <c r="G60" s="5">
        <v>21.0</v>
      </c>
      <c r="H60" s="6">
        <v>7.66</v>
      </c>
    </row>
    <row r="61" ht="15.75" customHeight="1">
      <c r="A61" s="4" t="s">
        <v>130</v>
      </c>
      <c r="B61" s="4" t="s">
        <v>131</v>
      </c>
      <c r="C61" s="4" t="s">
        <v>10</v>
      </c>
      <c r="D61" s="5">
        <v>1.2</v>
      </c>
      <c r="E61" s="4" t="s">
        <v>33</v>
      </c>
      <c r="F61" s="6">
        <v>7.66</v>
      </c>
      <c r="G61" s="5">
        <v>21.0</v>
      </c>
      <c r="H61" s="6">
        <v>7.66</v>
      </c>
    </row>
    <row r="62" ht="15.75" customHeight="1">
      <c r="A62" s="4" t="s">
        <v>132</v>
      </c>
      <c r="B62" s="4" t="s">
        <v>133</v>
      </c>
      <c r="C62" s="4" t="s">
        <v>10</v>
      </c>
      <c r="D62" s="5">
        <v>1.4</v>
      </c>
      <c r="E62" s="4" t="s">
        <v>33</v>
      </c>
      <c r="F62" s="6">
        <v>7.66</v>
      </c>
      <c r="G62" s="5">
        <v>21.0</v>
      </c>
      <c r="H62" s="6">
        <v>7.66</v>
      </c>
    </row>
    <row r="63" ht="15.75" customHeight="1">
      <c r="A63" s="4" t="s">
        <v>134</v>
      </c>
      <c r="B63" s="4" t="s">
        <v>135</v>
      </c>
      <c r="C63" s="4" t="s">
        <v>10</v>
      </c>
      <c r="D63" s="5">
        <v>2.3</v>
      </c>
      <c r="E63" s="4" t="s">
        <v>33</v>
      </c>
      <c r="F63" s="6">
        <v>10.18</v>
      </c>
      <c r="G63" s="5">
        <v>21.0</v>
      </c>
      <c r="H63" s="6">
        <v>10.18</v>
      </c>
    </row>
    <row r="64" ht="15.75" customHeight="1">
      <c r="A64" s="4" t="s">
        <v>136</v>
      </c>
      <c r="B64" s="4" t="s">
        <v>137</v>
      </c>
      <c r="C64" s="4" t="s">
        <v>10</v>
      </c>
      <c r="D64" s="5">
        <v>3.6</v>
      </c>
      <c r="E64" s="4" t="s">
        <v>33</v>
      </c>
      <c r="F64" s="6">
        <v>15.91</v>
      </c>
      <c r="G64" s="5">
        <v>21.0</v>
      </c>
      <c r="H64" s="6">
        <v>15.91</v>
      </c>
    </row>
    <row r="65" ht="15.75" customHeight="1">
      <c r="A65" s="4" t="s">
        <v>138</v>
      </c>
      <c r="B65" s="4" t="s">
        <v>139</v>
      </c>
      <c r="C65" s="4" t="s">
        <v>10</v>
      </c>
      <c r="D65" s="5">
        <v>4.0</v>
      </c>
      <c r="E65" s="4" t="s">
        <v>33</v>
      </c>
      <c r="F65" s="6">
        <v>17.69</v>
      </c>
      <c r="G65" s="5">
        <v>21.0</v>
      </c>
      <c r="H65" s="6">
        <v>17.69</v>
      </c>
    </row>
    <row r="66" ht="15.75" customHeight="1">
      <c r="A66" s="4" t="s">
        <v>140</v>
      </c>
      <c r="B66" s="4" t="s">
        <v>141</v>
      </c>
      <c r="C66" s="4" t="s">
        <v>10</v>
      </c>
      <c r="D66" s="5">
        <v>5.9</v>
      </c>
      <c r="E66" s="4" t="s">
        <v>33</v>
      </c>
      <c r="F66" s="6">
        <v>26.12</v>
      </c>
      <c r="G66" s="5">
        <v>21.0</v>
      </c>
      <c r="H66" s="6">
        <v>26.12</v>
      </c>
    </row>
    <row r="67" ht="15.75" customHeight="1">
      <c r="A67" s="4" t="s">
        <v>142</v>
      </c>
      <c r="B67" s="4" t="s">
        <v>143</v>
      </c>
      <c r="C67" s="4" t="s">
        <v>10</v>
      </c>
      <c r="D67" s="5">
        <v>8.1</v>
      </c>
      <c r="E67" s="4" t="s">
        <v>33</v>
      </c>
      <c r="F67" s="6">
        <v>35.79</v>
      </c>
      <c r="G67" s="5">
        <v>21.0</v>
      </c>
      <c r="H67" s="6">
        <v>35.79</v>
      </c>
    </row>
    <row r="68" ht="15.75" customHeight="1">
      <c r="A68" s="7" t="s">
        <v>144</v>
      </c>
      <c r="B68" s="7"/>
      <c r="C68" s="7"/>
      <c r="D68" s="8" t="str">
        <f>SUM(D2:D67)</f>
        <v>340.61</v>
      </c>
      <c r="E68" s="7"/>
      <c r="F68" s="9"/>
      <c r="G68" s="8"/>
      <c r="H68" s="9" t="str">
        <f>SUM(H2:H67)</f>
        <v>U$S 1,114.46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4.0"/>
    <col customWidth="1" min="3" max="4" width="12.0"/>
    <col customWidth="1" min="5" max="5" width="8.71"/>
    <col customWidth="1" min="6" max="9" width="16.0"/>
    <col customWidth="1" min="10" max="11" width="8.71"/>
  </cols>
  <sheetData>
    <row r="1">
      <c r="A1" s="10" t="s">
        <v>145</v>
      </c>
      <c r="F1" s="11" t="s">
        <v>146</v>
      </c>
    </row>
    <row r="2">
      <c r="F2" s="12" t="s">
        <v>147</v>
      </c>
      <c r="G2" s="13" t="s">
        <v>148</v>
      </c>
      <c r="H2" s="13" t="s">
        <v>149</v>
      </c>
      <c r="I2" s="14" t="s">
        <v>7</v>
      </c>
    </row>
    <row r="3">
      <c r="A3" s="15" t="s">
        <v>150</v>
      </c>
      <c r="B3" s="16" t="s">
        <v>151</v>
      </c>
      <c r="C3" s="16"/>
      <c r="D3" s="16"/>
      <c r="F3" s="16" t="s">
        <v>152</v>
      </c>
      <c r="G3" s="16">
        <v>10.0</v>
      </c>
      <c r="H3" s="17">
        <v>253.10999999999999</v>
      </c>
      <c r="I3" s="18">
        <v>397.05999999999995</v>
      </c>
    </row>
    <row r="4">
      <c r="A4" s="19" t="s">
        <v>153</v>
      </c>
      <c r="B4" s="16" t="s">
        <v>10</v>
      </c>
      <c r="C4" s="16"/>
      <c r="D4" s="16"/>
      <c r="F4" s="16" t="s">
        <v>154</v>
      </c>
      <c r="G4" s="16">
        <v>10.0</v>
      </c>
      <c r="H4" s="17">
        <v>21.47</v>
      </c>
      <c r="I4" s="18">
        <v>127.15</v>
      </c>
    </row>
    <row r="5">
      <c r="A5" s="19" t="s">
        <v>155</v>
      </c>
      <c r="B5" s="16" t="s">
        <v>156</v>
      </c>
      <c r="C5" s="16"/>
      <c r="D5" s="16"/>
      <c r="F5" s="16" t="s">
        <v>157</v>
      </c>
      <c r="G5" s="16">
        <v>8.0</v>
      </c>
      <c r="H5" s="17">
        <v>5.8</v>
      </c>
      <c r="I5" s="18">
        <v>66.55</v>
      </c>
    </row>
    <row r="6">
      <c r="A6" s="19" t="s">
        <v>158</v>
      </c>
      <c r="B6" s="16" t="s">
        <v>159</v>
      </c>
      <c r="C6" s="16"/>
      <c r="D6" s="16"/>
      <c r="F6" s="16" t="s">
        <v>160</v>
      </c>
      <c r="G6" s="16">
        <v>10.0</v>
      </c>
      <c r="H6" s="17">
        <v>26.33</v>
      </c>
      <c r="I6" s="18">
        <v>254.79000000000002</v>
      </c>
    </row>
    <row r="7">
      <c r="A7" s="19"/>
      <c r="B7" s="16"/>
      <c r="C7" s="16"/>
      <c r="D7" s="16"/>
      <c r="F7" s="16" t="s">
        <v>161</v>
      </c>
      <c r="G7" s="16">
        <v>6.0</v>
      </c>
      <c r="H7" s="17">
        <v>1.2</v>
      </c>
      <c r="I7" s="18">
        <v>25.410000000000004</v>
      </c>
    </row>
    <row r="8">
      <c r="A8" s="19" t="s">
        <v>162</v>
      </c>
      <c r="B8" s="18">
        <v>1114.48</v>
      </c>
      <c r="C8" s="16"/>
      <c r="D8" s="16"/>
      <c r="F8" s="16" t="s">
        <v>163</v>
      </c>
      <c r="G8" s="16">
        <v>10.0</v>
      </c>
      <c r="H8" s="17">
        <v>3.6999999999999997</v>
      </c>
      <c r="I8" s="18">
        <v>95.55</v>
      </c>
    </row>
    <row r="9">
      <c r="A9" s="19" t="s">
        <v>164</v>
      </c>
      <c r="B9" s="18" t="str">
        <f>Items!H68</f>
        <v>U$S 1,114.46</v>
      </c>
      <c r="C9" s="16"/>
      <c r="D9" s="16"/>
      <c r="F9" s="16" t="s">
        <v>165</v>
      </c>
      <c r="G9" s="16">
        <v>2.0</v>
      </c>
      <c r="H9" s="17">
        <v>0.4</v>
      </c>
      <c r="I9" s="18">
        <v>3.96</v>
      </c>
    </row>
    <row r="10">
      <c r="A10" s="19" t="s">
        <v>166</v>
      </c>
      <c r="B10" s="18">
        <v>234.06</v>
      </c>
      <c r="C10" s="16"/>
      <c r="D10" s="16"/>
      <c r="F10" s="16" t="s">
        <v>167</v>
      </c>
      <c r="G10" s="16">
        <v>10.0</v>
      </c>
      <c r="H10" s="17">
        <v>28.6</v>
      </c>
      <c r="I10" s="18">
        <v>143.99</v>
      </c>
    </row>
    <row r="11">
      <c r="A11" s="19" t="s">
        <v>168</v>
      </c>
      <c r="B11" s="18">
        <v>6.69</v>
      </c>
      <c r="C11" s="16"/>
      <c r="D11" s="16"/>
    </row>
    <row r="12">
      <c r="A12" s="19" t="s">
        <v>169</v>
      </c>
      <c r="B12" s="18">
        <v>44.58</v>
      </c>
      <c r="C12" s="16"/>
      <c r="D12" s="16"/>
    </row>
    <row r="13">
      <c r="A13" s="19" t="s">
        <v>170</v>
      </c>
      <c r="B13" s="18">
        <v>285.33</v>
      </c>
      <c r="C13" s="16"/>
      <c r="D13" s="16"/>
    </row>
    <row r="14">
      <c r="A14" s="20" t="s">
        <v>171</v>
      </c>
      <c r="B14" s="21">
        <v>1399.81</v>
      </c>
      <c r="C14" s="16"/>
      <c r="D14" s="16"/>
    </row>
    <row r="15">
      <c r="A15" s="19" t="s">
        <v>172</v>
      </c>
      <c r="B15" s="17" t="str">
        <f>Items!D68</f>
        <v>340.61</v>
      </c>
      <c r="C15" s="16"/>
      <c r="D15" s="16"/>
    </row>
    <row r="16">
      <c r="A16" s="19" t="s">
        <v>173</v>
      </c>
      <c r="B16" s="22">
        <v>66.0</v>
      </c>
      <c r="C16" s="16"/>
      <c r="D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